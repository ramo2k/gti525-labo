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quipe 17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<sst xmlns="http://schemas.openxmlformats.org/spreadsheetml/2006/main" count="88" uniqueCount="73">
  <si>
    <t xml:space="preserve">⚠  PROPOSITION D'ÉVALUATION — à valider par le chargé(e) de laboratoire. Les notes et pénalités proposées doivent être vérifiées avant d'être communiquées à l'équipe.</t>
  </si>
  <si>
    <t xml:space="preserve">Identification</t>
  </si>
  <si>
    <t xml:space="preserve">Équipe n°</t>
  </si>
  <si>
    <t xml:space="preserve">17</t>
  </si>
  <si>
    <t xml:space="preserve">Date</t>
  </si>
  <si>
    <t xml:space="preserve">2026-06-17</t>
  </si>
  <si>
    <t xml:space="preserve">Section</t>
  </si>
  <si>
    <t xml:space="preserve">01</t>
  </si>
  <si>
    <t xml:space="preserve">Chargé(e) de laboratoire</t>
  </si>
  <si>
    <t xml:space="preserve">Marcos Dias de Assunção</t>
  </si>
  <si>
    <t xml:space="preserve">Membre 1</t>
  </si>
  <si>
    <t xml:space="preserve">Omar Khudhair</t>
  </si>
  <si>
    <t xml:space="preserve">Membre 2</t>
  </si>
  <si>
    <t xml:space="preserve">Christian Junior Djomga</t>
  </si>
  <si>
    <t xml:space="preserve">Membre 3</t>
  </si>
  <si>
    <t xml:space="preserve">Lien dépôt Git</t>
  </si>
  <si>
    <t xml:space="preserve">https://github.com/ramo2k/gti525-labo</t>
  </si>
  <si>
    <t xml:space="preserve">Tag de soumission</t>
  </si>
  <si>
    <t xml:space="preserve">phase1-submission</t>
  </si>
  <si>
    <t xml:space="preserve">SHA du commit</t>
  </si>
  <si>
    <t xml:space="preserve">7c8b961ebb72b0ced7cea06d0226a3495b543613</t>
  </si>
  <si>
    <t xml:space="preserve">Parcours déclaré par l'équipe</t>
  </si>
  <si>
    <t xml:space="preserve">☑</t>
  </si>
  <si>
    <t xml:space="preserve">Parcours augmenté par l'IA</t>
  </si>
  <si>
    <t xml:space="preserve">(évalué via PROMPTS.md + DEMARCHE.md)</t>
  </si>
  <si>
    <t xml:space="preserve">☐</t>
  </si>
  <si>
    <t xml:space="preserve">Parcours classique sans IA</t>
  </si>
  <si>
    <t xml:space="preserve">(évalué via DEMARCHE.md uniquement)</t>
  </si>
  <si>
    <t xml:space="preserve">Parcours non déclaré</t>
  </si>
  <si>
    <t xml:space="preserve">(absence de DEMARCHE.md — voir la pénalité correspondante)</t>
  </si>
  <si>
    <t xml:space="preserve">Vérifications préalables</t>
  </si>
  <si>
    <t xml:space="preserve">Pour chaque ligne, attribuer une note entre 0 et le maximum et inscrire un commentaire. Les notes proposées s'appuient sur des éléments observables du dépôt ; les critères non évaluables sans la démo ou le rapport restent vides.</t>
  </si>
  <si>
    <t xml:space="preserve">Vérification du tag : git fetch --tags &amp;&amp; git rev-parse phase1-submission. Si le tag est absent, divergent du SHA déposé ou créé après la date limite, appliquer la pénalité de soumission et évaluer la version pointée par le tag.</t>
  </si>
  <si>
    <t xml:space="preserve">#</t>
  </si>
  <si>
    <t xml:space="preserve">Critère</t>
  </si>
  <si>
    <t xml:space="preserve">Description</t>
  </si>
  <si>
    <t xml:space="preserve">Max</t>
  </si>
  <si>
    <t xml:space="preserve">Note</t>
  </si>
  <si>
    <t xml:space="preserve">Commentaires</t>
  </si>
  <si>
    <t xml:space="preserve">Il manque quelques éléments dans Home. À propos pas implémentée.</t>
  </si>
  <si>
    <t xml:space="preserve">Sous-total — démonstration</t>
  </si>
  <si>
    <t xml:space="preserve">header/nav/main/footer ✓, NavLink actif ✓, focus:ring sur inputs ✓. Mais : lang='en' dans index.html (app entièrement en français — WCAG 3.1.1), labels sans htmlFor ni id sur tous les champs de filtre (Statistiques.jsx:138, POI.jsx:86), hamburger &lt;button&gt; sans aria-label/aria-expanded/aria-controls (Navbar.jsx:44), tri via onClick sur &lt;th&gt; au lieu d'un &lt;button&gt; (DataTable.jsx:22), aucun skip link, aucun aria-live sur le compteur de résultats.</t>
  </si>
  <si>
    <t xml:space="preserve">Tailwind v4 @theme avec 3 tokens (mtl-primaire #15803D, mtl-survol #166534, mtl-actif #14532D), usage cohérent dans tous les composants. PROMPTS.md entrée 3 montre vérification WebAIM et modification manuelle du ratio. Mais seulement 3 tokens (nuances du même vert), aucun token pour texte/fond/surface, aucune documentation de contraste dans le code (index.css = 7 lignes, aucun commentaire ratio).</t>
  </si>
  <si>
    <t xml:space="preserve">PapaParse (justifié dans DEMARCHE D4) ✓, useCSV + useSort hooks génériques ✓, DataTable + PageLayout composants réutilisables (DRY/SOLID) ✓, point-in-polygon ray-casting (MultiPolygon) ✓, useMemo sur enrichissement+filtrage ✓, pagination avec reset au filtre ✓, toLocaleString('fr-CA') ✓. Lacunes : useCSV sans état error (Statistiques reste en 'chargement' si le fetch échoue), GeoJSON fetch dans Statistiques sans .catch (Statistiques.jsx:57-61), sort sans localeCompare('fr') (useSort.js:25-26).</t>
  </si>
  <si>
    <t xml:space="preserve">8/17 commits marqués [IA] (cohérent avec les 7 entrées PROMPTS.md) ✓, 2 branches (omar, christian) + 2 PRs ✓, messages descriptifs ✓. Répartition : Omar 65%, Christian 35% — acceptable pour 2 membres, mais légèrement déséquilibré (5 entrées PROMPTS Omar, 2 Christian).</t>
  </si>
  <si>
    <t xml:space="preserve">PROMPTS.md : 7 entrées liées aux commits, 2 auteurs (Christian entrées 1-2, Omar entrées 3-7), prompts réels inclus. Section hallucinations ✓ (colonne inventée, sur-ingénierie Tailwind). Entrée 1 : rejet quasi-total (code illisible, réécriture complète) — jugement critique honnête. Entrée 5 : hallucination détectée et corrigée (Ray-Casting). DEMARCHE : 4 décisions avec tableau d'alternatives + justification.</t>
  </si>
  <si>
    <t xml:space="preserve">Sous-total — code</t>
  </si>
  <si>
    <t xml:space="preserve">React+Vite vs Vanilla JS vs CDN comparé et justifié (phases futures) ✓. Tableau fichier/rôle pour chaque module ✓. Tailwind justifié vs Bootstrap vs CSS pur (DEMARCHE D2). Limites : pas de description du flux de données (useCSV→useMemo→filtrage), pas de discussion sur la gestion d'erreurs, pas mention du routage React Router ni de la structure SPA.</t>
  </si>
  <si>
    <t xml:space="preserve">Tri (useSort + useMemo, asc/desc, numérique/chaîne) bien décrit ✓. Recherche (useState + useMemo + filter/includes + toLowerCase) ✓. Ray-Casting (isPointInPolygon) expliqué clairement ✓. Réseau : le rapport décrit la formule haversine mais le code final utilise f.properties.LONGUEUR/1000 (haversine supprimée — PROMPTS.md entrée 2). Incohérence rapport/implémentation. Pagination non mentionnée.</t>
  </si>
  <si>
    <t xml:space="preserve">Tableau couleurs hex+ratio (3 lignes : #15803D 5,01:1, #F1F5F9 fond, #0F172A texte) ✓. HTML sémantique listé ✓. Responsive décrit (max-w-screen-xl, filtres+contenu, hamburger) ✓. Mais : revendique 'boutons de tri accessibles via Tab' — le tri est sur &lt;th&gt; onClick (DataTable.jsx:22), non accessible au clavier. Labels sans htmlFor non mentionnés. Aucune mention de skip link, aria-sort, aria-live, aria-expanded.</t>
  </si>
  <si>
    <t xml:space="preserve">2 outils (Claude Sonnet 4.6 + Gemini Pro) avec rôles distincts justifiés ✓. Tâches déléguées listées ✓. Évolution des prompts : vagues→précis avec contraintes (retourner fichiers complets, interdire listes numérotées) ✓. Erreurs documentées : invention de colonne CSV, sur-ingénierie Tailwind ✓. Gain 50% estimé ✓. 4 mesures de maîtrise (explication, relecture, PROMPTS.md, 0 intégration sans relecture) ✓. Solide mais section brève ; aurrait gagné à détailler l'évolution par commit.</t>
  </si>
  <si>
    <t xml:space="preserve">Tableau de répartition par membre avec contributions spécifiques (fichiers/hooks/fonctionnalités) ✓. Conclusion cite React, IA accélération + validation rigoureuse ✓. Déductions : pas de pourcentage de commits ni analyse Git, conclusion courte et générique, la stratégie de branchement n'est pas mentionnée.</t>
  </si>
  <si>
    <t xml:space="preserve">Sous-total — rapport</t>
  </si>
  <si>
    <t xml:space="preserve">4. Pénalités</t>
  </si>
  <si>
    <t xml:space="preserve">Pénalité</t>
  </si>
  <si>
    <t xml:space="preserve">Appliquée</t>
  </si>
  <si>
    <t xml:space="preserve">Justification</t>
  </si>
  <si>
    <t xml:space="preserve">lang='en' sur index.html (app française — WCAG 3.1.1). Labels sans htmlFor/id sur tous les champs de filtres (Statistiques.jsx:137-144, POI.jsx:85-92). Hamburger &lt;button&gt; sans aria-label/aria-expanded/aria-controls, SVG sans aria-hidden (Navbar.jsx:44-54). Tri via onClick sur &lt;th&gt; sans &lt;button&gt; focusable ni aria-sort (DataTable.jsx:16-28). Aucun skip link.</t>
  </si>
  <si>
    <t xml:space="preserve">Sous-total des pénalités appliquées</t>
  </si>
  <si>
    <t xml:space="preserve">5. Note finale</t>
  </si>
  <si>
    <t xml:space="preserve">Sous-total démonstration</t>
  </si>
  <si>
    <t xml:space="preserve">Sous-total code et dépôt Git</t>
  </si>
  <si>
    <t xml:space="preserve">Sous-total rapport</t>
  </si>
  <si>
    <t xml:space="preserve">Pénalités appliquées</t>
  </si>
  <si>
    <t xml:space="preserve">—</t>
  </si>
  <si>
    <t xml:space="preserve">NOTE FINALE PROPOSÉE</t>
  </si>
  <si>
    <t xml:space="preserve">/ 100</t>
  </si>
  <si>
    <t xml:space="preserve">6. Rétroaction à l'équipe</t>
  </si>
  <si>
    <t xml:space="preserve">Points forts observés :</t>
  </si>
  <si>
    <t xml:space="preserve">• Architecture modulaire exemplaire pour 2 personnes : useCSV + useSort hooks + DataTable + PageLayout composants — DRY/SOLID appliqués et justifiés dans DEMARCHE et PROMPTS.md.
• PROMPTS.md de qualité : 7 entrées, entrée 1 rejet quasi-total documenté honnêtement, hallucinations identifiées (colonne CSV inventée, Tailwind excessif), processus itératif (Claude rejeté → Gemini accepté).
• Point-in-polygon (Ray-Casting) avec gestion MultiPolygon pour enrichir les compteurs sans modifier le CSV source — solution technique non triviale bien expliquée dans le rapport.
• Gemini Pro vs Claude Sonnet 4.6 : usage différencié selon la tâche (algorithmique vs Tailwind), avec justification — démarche professionnelle réfléchie.</t>
  </si>
  <si>
    <t xml:space="preserve">Points à améliorer :</t>
  </si>
  <si>
    <t xml:space="preserve">• Corriger lang='fr' dans mtl-velo/index.html et ajouter htmlFor/id sur tous les &lt;label&gt;/&lt;input&gt; (Statistiques.jsx:137-144, POI.jsx:85-92) — deux corrections simples qui règlent 2 violations WCAG majeures.
• Rendre le tri accessible au clavier : remplacer onClick sur &lt;th&gt; par un &lt;button&gt; à l'intérieur du &lt;th&gt; avec aria-sort='ascending/descending/none' (DataTable.jsx:16-28).
• Ajouter un état error dans useCSV.js (callback PapaParse `error:`) et un .catch() sur le fetch du GeoJSON dans Statistiques.jsx:57 — l'application reste silencieusement bloquée en chargement sur erreur réseau.
• Corriger le rapport R2 : la longueur du réseau est calculée via f.properties.LONGUEUR (pas haversine) — la haversine a été supprimée dans le commit 42ba90f selon PROMPTS.md entrée 2.</t>
  </si>
  <si>
    <t xml:space="preserve">Signature du chargé(e) de laboratoire 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</si>
</sst>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##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2D7D3F"/>
      <name val="Arial"/>
      <family val="0"/>
      <charset val="1"/>
    </font>
    <font>
      <b val="true"/>
      <sz val="10"/>
      <color rgb="FF2D7D3F"/>
      <name val="Arial"/>
      <family val="0"/>
      <charset val="1"/>
    </font>
    <font>
      <sz val="10"/>
      <color rgb="FF606060"/>
      <name val="Arial"/>
      <family val="0"/>
      <charset val="1"/>
    </font>
    <font>
      <b val="true"/>
      <sz val="14"/>
      <color rgb="FF60606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3CD"/>
        <bgColor rgb="FFFFF8DC"/>
      </patternFill>
    </fill>
    <fill>
      <patternFill patternType="solid">
        <fgColor rgb="FFEAF1FB"/>
        <bgColor rgb="FFE8F5E9"/>
      </patternFill>
    </fill>
    <fill>
      <patternFill patternType="solid">
        <fgColor rgb="FFE8F5E9"/>
        <bgColor rgb="FFEAF1FB"/>
      </patternFill>
    </fill>
    <fill>
      <patternFill patternType="solid">
        <fgColor rgb="FFFFF8DC"/>
        <bgColor rgb="FFFFF3CD"/>
      </patternFill>
    </fill>
    <fill>
      <patternFill patternType="solid">
        <fgColor rgb="FF2E74B5"/>
        <bgColor rgb="FF0066CC"/>
      </patternFill>
    </fill>
    <fill>
      <patternFill patternType="solid">
        <fgColor rgb="FFDEEBF7"/>
        <bgColor rgb="FFEAF1FB"/>
      </patternFill>
    </fill>
    <fill>
      <patternFill patternType="solid">
        <fgColor rgb="FFFFFFFF"/>
        <bgColor rgb="FFF4F8FC"/>
      </patternFill>
    </fill>
    <fill>
      <patternFill patternType="solid">
        <fgColor rgb="FFF4F8FC"/>
        <bgColor rgb="FFEAF1FB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 diagonalUp="false" diagonalDown="false">
      <left style="thin">
        <color rgb="FF8FAADC"/>
      </left>
      <right style="thin">
        <color rgb="FF8FAADC"/>
      </right>
      <top style="thin">
        <color rgb="FF8FAADC"/>
      </top>
      <bottom style="thin">
        <color rgb="FF8FAA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5" fontId="16" fillId="7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5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7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5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1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1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6" fontId="18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9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1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20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0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12" borderId="2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20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2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0C0C0"/>
      <rgbColor rgb="FF808080"/>
      <rgbColor rgb="FF8FAADC"/>
      <rgbColor rgb="FF993366"/>
      <rgbColor rgb="FFFFF8DC"/>
      <rgbColor rgb="FFDEEBF7"/>
      <rgbColor rgb="FF660066"/>
      <rgbColor rgb="FFFF8080"/>
      <rgbColor rgb="FF0066CC"/>
      <rgbColor rgb="FFF4F8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AF1FB"/>
      <rgbColor rgb="FFFFF3CD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2D7D3F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GTI525_Grille_Phase1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ître"/>
      <sheetName val="Équipe (modèle)"/>
      <sheetName val="Équipe 01"/>
      <sheetName val="Équipe 02"/>
      <sheetName val="Équipe 03"/>
      <sheetName val="Équipe 04"/>
      <sheetName val="Équipe 05"/>
      <sheetName val="Équipe 06"/>
      <sheetName val="Équipe 07"/>
      <sheetName val="Équipe 08"/>
      <sheetName val="Équipe 10"/>
      <sheetName val="Équipe 11"/>
      <sheetName val="Équipe 12"/>
      <sheetName val="Équipe 13"/>
      <sheetName val="Équipe 14"/>
      <sheetName val="Équipe 15"/>
      <sheetName val="Équipe 16"/>
      <sheetName val="Équipe 17"/>
      <sheetName val="Équipe 20"/>
    </sheetNames>
    <sheetDataSet>
      <sheetData sheetId="0">
        <row r="1">
          <cell r="A1" t="str">
            <v>GTI525 — Technologies de développement Internet</v>
          </cell>
        </row>
        <row r="2">
          <cell r="A2" t="str">
            <v>Grille d'évaluation — Phase 1 — Conception du front-end</v>
          </cell>
        </row>
        <row r="3">
          <cell r="A3" t="str">
            <v>Application « MTL Vélo » — Parcours classique ou augmenté par l'IA</v>
          </cell>
        </row>
        <row r="6">
          <cell r="A6" t="str">
            <v>1. Démonstration en direct  —  25 points</v>
          </cell>
        </row>
        <row r="8">
          <cell r="A8" t="str">
            <v>D1</v>
          </cell>
          <cell r="B8" t="str">
            <v>Navigation et structure</v>
          </cell>
          <cell r="C8" t="str">
            <v>Toutes les pages prévues sont présentes, la navigation fonctionne, l'état actif et l'état :hover sont visibles.</v>
          </cell>
          <cell r="D8">
            <v>5</v>
          </cell>
        </row>
        <row r="9">
          <cell r="A9" t="str">
            <v>D2</v>
          </cell>
          <cell r="B9" t="str">
            <v>Affichage des données</v>
          </cell>
          <cell r="C9" t="str">
            <v>Les compteurs et points d'intérêt sont chargés depuis les fichiers et correctement affichés.</v>
          </cell>
          <cell r="D9">
            <v>5</v>
          </cell>
        </row>
        <row r="10">
          <cell r="A10" t="str">
            <v>D3</v>
          </cell>
          <cell r="B10" t="str">
            <v>Tri, recherche, filtres</v>
          </cell>
          <cell r="C10" t="str">
            <v>Le tri par colonne, la recherche par nom et le filtre par arrondissement fonctionnent en direct.</v>
          </cell>
          <cell r="D10">
            <v>5</v>
          </cell>
        </row>
        <row r="11">
          <cell r="A11" t="str">
            <v>D4</v>
          </cell>
          <cell r="B11" t="str">
            <v>Thème et accessibilité</v>
          </cell>
          <cell r="C11" t="str">
            <v>Le thème respecte les contrastes WCAG ; les couleurs sont cohérentes ; la mise en page reste lisible.</v>
          </cell>
          <cell r="D11">
            <v>5</v>
          </cell>
        </row>
        <row r="12">
          <cell r="A12" t="str">
            <v>D5</v>
          </cell>
          <cell r="B12" t="str">
            <v>Maîtrise du code</v>
          </cell>
          <cell r="C12" t="str">
            <v>Chaque membre explique son code et défend ses choix techniques.</v>
          </cell>
          <cell r="D12">
            <v>5</v>
          </cell>
        </row>
        <row r="13">
          <cell r="D13">
            <v>25</v>
          </cell>
        </row>
        <row r="15">
          <cell r="A15" t="str">
            <v>2. Code et dépôt Git  —  35 points</v>
          </cell>
        </row>
        <row r="17">
          <cell r="A17" t="str">
            <v>C1</v>
          </cell>
          <cell r="B17" t="str">
            <v>Structure du code</v>
          </cell>
          <cell r="C17" t="str">
            <v>HTML sémantique, séparation HTML / CSS / JS, modules JS organisés.</v>
          </cell>
          <cell r="D17">
            <v>8</v>
          </cell>
        </row>
        <row r="18">
          <cell r="A18" t="str">
            <v>C2</v>
          </cell>
          <cell r="B18" t="str">
            <v>Qualité CSS</v>
          </cell>
          <cell r="C18" t="str">
            <v>Flexbox / Grid, pas de tableaux HTML pour la mise en page, classes cohérentes.</v>
          </cell>
          <cell r="D18">
            <v>5</v>
          </cell>
        </row>
        <row r="19">
          <cell r="A19" t="str">
            <v>C3</v>
          </cell>
          <cell r="B19" t="str">
            <v>Qualité JS</v>
          </cell>
          <cell r="C19" t="str">
            <v>Code lisible, fonctions courtes, gestion d'erreurs minimale présente.</v>
          </cell>
          <cell r="D19">
            <v>7</v>
          </cell>
        </row>
        <row r="20">
          <cell r="A20" t="str">
            <v>C4</v>
          </cell>
          <cell r="B20" t="str">
            <v>Dépôt Git</v>
          </cell>
          <cell r="C20" t="str">
            <v>Commits réguliers des trois membres, messages clairs, [IA] présent si applicable.</v>
          </cell>
          <cell r="D20">
            <v>5</v>
          </cell>
        </row>
        <row r="21">
          <cell r="A21" t="str">
            <v>C5</v>
          </cell>
          <cell r="B21" t="str">
            <v>Journal de démarche</v>
          </cell>
          <cell r="C21" t="str">
            <v>Parcours avec IA : PROMPTS.md à jour. Parcours sans IA : DEMARCHE.md à jour.</v>
          </cell>
          <cell r="D21">
            <v>10</v>
          </cell>
        </row>
        <row r="22">
          <cell r="D22">
            <v>35</v>
          </cell>
        </row>
        <row r="24">
          <cell r="A24" t="str">
            <v>3. Rapport  —  40 points</v>
          </cell>
        </row>
        <row r="26">
          <cell r="A26" t="str">
            <v>R1</v>
          </cell>
          <cell r="B26" t="str">
            <v>Architecture</v>
          </cell>
          <cell r="C26" t="str">
            <v>Description claire, rôle des modules, justification du cadriciel.</v>
          </cell>
          <cell r="D26">
            <v>8</v>
          </cell>
        </row>
        <row r="27">
          <cell r="A27" t="str">
            <v>R2</v>
          </cell>
          <cell r="B27" t="str">
            <v>Implémentation</v>
          </cell>
          <cell r="C27" t="str">
            <v>Explication concise du tri, de la recherche et du filtrage.</v>
          </cell>
          <cell r="D27">
            <v>6</v>
          </cell>
        </row>
        <row r="28">
          <cell r="A28" t="str">
            <v>R3</v>
          </cell>
          <cell r="B28" t="str">
            <v>Accessibilité et thème</v>
          </cell>
          <cell r="C28" t="str">
            <v>Couleurs documentées, démarche d'accessibilité.</v>
          </cell>
          <cell r="D28">
            <v>6</v>
          </cell>
        </row>
        <row r="29">
          <cell r="A29" t="str">
            <v>R4</v>
          </cell>
          <cell r="B29" t="str">
            <v>Démarche professionnelle et réflexion critique</v>
          </cell>
          <cell r="C29" t="str">
            <v>Section dédiée du rapport rendant compte du parcours choisi.</v>
          </cell>
          <cell r="D29">
            <v>12</v>
          </cell>
        </row>
        <row r="30">
          <cell r="A30" t="str">
            <v>R5</v>
          </cell>
          <cell r="B30" t="str">
            <v>Répartition et présentation</v>
          </cell>
          <cell r="C30" t="str">
            <v>Rôles précis, intro / conclusion soignées, qualité de la mise en page.</v>
          </cell>
          <cell r="D30">
            <v>8</v>
          </cell>
        </row>
        <row r="31">
          <cell r="D31">
            <v>40</v>
          </cell>
        </row>
        <row r="35">
          <cell r="A35" t="str">
            <v>P1</v>
          </cell>
          <cell r="B35" t="str">
            <v>Mauvais usage du HTML sémantique : absence ou usage inadéquat d'éléments HTML5 structurants.</v>
          </cell>
        </row>
        <row r="35">
          <cell r="D35">
            <v>5</v>
          </cell>
        </row>
        <row r="36">
          <cell r="A36" t="str">
            <v>P2</v>
          </cell>
          <cell r="B36" t="str">
            <v>Rapport mal rédigé : qualité du français insuffisante (clarté, structure, syntaxe).</v>
          </cell>
        </row>
        <row r="36">
          <cell r="D36">
            <v>10</v>
          </cell>
        </row>
        <row r="37">
          <cell r="A37" t="str">
            <v>P3</v>
          </cell>
          <cell r="B37" t="str">
            <v>[Parcours avec IA] Code généré accepté tel quel, sans relecture ni adaptation.</v>
          </cell>
        </row>
        <row r="37">
          <cell r="D37">
            <v>10</v>
          </cell>
        </row>
        <row r="38">
          <cell r="A38" t="str">
            <v>P4</v>
          </cell>
          <cell r="B38" t="str">
            <v>[Parcours avec IA] Absence ou non-respect du journal PROMPTS.md.</v>
          </cell>
        </row>
        <row r="38">
          <cell r="D38">
            <v>10</v>
          </cell>
        </row>
        <row r="39">
          <cell r="A39" t="str">
            <v>P5</v>
          </cell>
          <cell r="B39" t="str">
            <v>[Parcours sans IA] Absence ou non-respect du journal DEMARCHE.md, ou usage d'IA non déclaré.</v>
          </cell>
        </row>
        <row r="39">
          <cell r="D39">
            <v>10</v>
          </cell>
        </row>
        <row r="40">
          <cell r="A40" t="str">
            <v>P7</v>
          </cell>
          <cell r="B40" t="str">
            <v>Soumission non conforme : tag phase1-submission absent ou divergent du SHA déposé.</v>
          </cell>
        </row>
        <row r="40">
          <cell r="D40">
            <v>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54" activePane="bottomLeft" state="frozen"/>
      <selection pane="topLeft" activeCell="A1" activeCellId="0" sqref="A1"/>
      <selection pane="bottomLeft" activeCell="H18" activeCellId="0" sqref="H18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56"/>
    <col collapsed="false" customWidth="true" hidden="false" outlineLevel="0" max="4" min="4" style="1" width="6"/>
    <col collapsed="false" customWidth="true" hidden="false" outlineLevel="0" max="5" min="5" style="1" width="8"/>
    <col collapsed="false" customWidth="true" hidden="false" outlineLevel="0" max="6" min="6" style="1" width="30"/>
  </cols>
  <sheetData>
    <row r="1" customFormat="false" ht="25.5" hidden="false" customHeight="true" outlineLevel="0" collapsed="false">
      <c r="A1" s="2" t="str">
        <f aca="false">[1]Maître!$A$1</f>
        <v>GTI525 — Technologies de développement Internet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tr">
        <f aca="false">[1]Maître!$A$2</f>
        <v>Grille d'évaluation — Phase 1 — Conception du front-end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4" t="str">
        <f aca="false">[1]Maître!$A$3</f>
        <v>Application « MTL Vélo » — Parcours classique ou augmenté par l'IA</v>
      </c>
      <c r="B3" s="4"/>
      <c r="C3" s="4"/>
      <c r="D3" s="4"/>
      <c r="E3" s="4"/>
      <c r="F3" s="4"/>
    </row>
    <row r="4" customFormat="false" ht="36" hidden="false" customHeight="true" outlineLevel="0" collapsed="false">
      <c r="A4" s="5" t="s">
        <v>0</v>
      </c>
      <c r="B4" s="5"/>
      <c r="C4" s="5"/>
      <c r="D4" s="5"/>
      <c r="E4" s="5"/>
      <c r="F4" s="5"/>
    </row>
    <row r="6" customFormat="false" ht="19.5" hidden="false" customHeight="true" outlineLevel="0" collapsed="false">
      <c r="A6" s="6" t="s">
        <v>1</v>
      </c>
      <c r="B6" s="6"/>
      <c r="C6" s="6"/>
      <c r="D6" s="6"/>
      <c r="E6" s="6"/>
      <c r="F6" s="6"/>
    </row>
    <row r="7" customFormat="false" ht="21.75" hidden="false" customHeight="true" outlineLevel="0" collapsed="false">
      <c r="A7" s="7" t="s">
        <v>2</v>
      </c>
      <c r="B7" s="7"/>
      <c r="C7" s="8" t="s">
        <v>3</v>
      </c>
      <c r="D7" s="7" t="s">
        <v>4</v>
      </c>
      <c r="E7" s="7"/>
      <c r="F7" s="8" t="s">
        <v>5</v>
      </c>
    </row>
    <row r="8" customFormat="false" ht="21.75" hidden="false" customHeight="true" outlineLevel="0" collapsed="false">
      <c r="A8" s="7" t="s">
        <v>6</v>
      </c>
      <c r="B8" s="7"/>
      <c r="C8" s="8" t="s">
        <v>7</v>
      </c>
      <c r="D8" s="7" t="s">
        <v>8</v>
      </c>
      <c r="E8" s="7"/>
      <c r="F8" s="8" t="s">
        <v>9</v>
      </c>
    </row>
    <row r="9" customFormat="false" ht="21.75" hidden="false" customHeight="true" outlineLevel="0" collapsed="false">
      <c r="A9" s="7" t="s">
        <v>10</v>
      </c>
      <c r="B9" s="7"/>
      <c r="C9" s="8" t="s">
        <v>11</v>
      </c>
      <c r="D9" s="7" t="s">
        <v>12</v>
      </c>
      <c r="E9" s="7"/>
      <c r="F9" s="8" t="s">
        <v>13</v>
      </c>
    </row>
    <row r="10" customFormat="false" ht="21.75" hidden="false" customHeight="true" outlineLevel="0" collapsed="false">
      <c r="A10" s="7" t="s">
        <v>14</v>
      </c>
      <c r="B10" s="7"/>
      <c r="C10" s="9"/>
      <c r="D10" s="7" t="s">
        <v>15</v>
      </c>
      <c r="E10" s="7"/>
      <c r="F10" s="8" t="s">
        <v>16</v>
      </c>
    </row>
    <row r="11" customFormat="false" ht="21.75" hidden="false" customHeight="true" outlineLevel="0" collapsed="false">
      <c r="A11" s="7" t="s">
        <v>17</v>
      </c>
      <c r="B11" s="7"/>
      <c r="C11" s="8" t="s">
        <v>18</v>
      </c>
      <c r="D11" s="7" t="s">
        <v>19</v>
      </c>
      <c r="E11" s="7"/>
      <c r="F11" s="8" t="s">
        <v>20</v>
      </c>
    </row>
    <row r="13" customFormat="false" ht="19.5" hidden="false" customHeight="true" outlineLevel="0" collapsed="false">
      <c r="A13" s="6" t="s">
        <v>21</v>
      </c>
      <c r="B13" s="6"/>
      <c r="C13" s="6"/>
      <c r="D13" s="6"/>
      <c r="E13" s="6"/>
      <c r="F13" s="6"/>
    </row>
    <row r="14" customFormat="false" ht="19.5" hidden="false" customHeight="true" outlineLevel="0" collapsed="false">
      <c r="A14" s="10" t="s">
        <v>22</v>
      </c>
      <c r="B14" s="11" t="s">
        <v>23</v>
      </c>
      <c r="C14" s="12" t="s">
        <v>24</v>
      </c>
      <c r="D14" s="12"/>
      <c r="E14" s="12"/>
      <c r="F14" s="12"/>
    </row>
    <row r="15" customFormat="false" ht="19.5" hidden="false" customHeight="true" outlineLevel="0" collapsed="false">
      <c r="A15" s="13" t="s">
        <v>25</v>
      </c>
      <c r="B15" s="14" t="s">
        <v>26</v>
      </c>
      <c r="C15" s="12" t="s">
        <v>27</v>
      </c>
      <c r="D15" s="12"/>
      <c r="E15" s="12"/>
      <c r="F15" s="12"/>
    </row>
    <row r="16" customFormat="false" ht="19.5" hidden="false" customHeight="true" outlineLevel="0" collapsed="false">
      <c r="A16" s="13" t="s">
        <v>25</v>
      </c>
      <c r="B16" s="14" t="s">
        <v>28</v>
      </c>
      <c r="C16" s="12" t="s">
        <v>29</v>
      </c>
      <c r="D16" s="12"/>
      <c r="E16" s="12"/>
      <c r="F16" s="12"/>
    </row>
    <row r="18" customFormat="false" ht="19.5" hidden="false" customHeight="true" outlineLevel="0" collapsed="false">
      <c r="A18" s="6" t="s">
        <v>30</v>
      </c>
      <c r="B18" s="6"/>
      <c r="C18" s="6"/>
      <c r="D18" s="6"/>
      <c r="E18" s="6"/>
      <c r="F18" s="6"/>
    </row>
    <row r="19" customFormat="false" ht="31.5" hidden="false" customHeight="true" outlineLevel="0" collapsed="false">
      <c r="A19" s="15" t="s">
        <v>31</v>
      </c>
      <c r="B19" s="15"/>
      <c r="C19" s="15"/>
      <c r="D19" s="15"/>
      <c r="E19" s="15"/>
      <c r="F19" s="15"/>
    </row>
    <row r="20" customFormat="false" ht="39.75" hidden="false" customHeight="true" outlineLevel="0" collapsed="false">
      <c r="A20" s="15" t="s">
        <v>32</v>
      </c>
      <c r="B20" s="15"/>
      <c r="C20" s="15"/>
      <c r="D20" s="15"/>
      <c r="E20" s="15"/>
      <c r="F20" s="15"/>
    </row>
    <row r="22" customFormat="false" ht="21.75" hidden="false" customHeight="true" outlineLevel="0" collapsed="false">
      <c r="A22" s="16" t="str">
        <f aca="false">[1]Maître!$A$6</f>
        <v>1. Démonstration en direct  —  25 points</v>
      </c>
      <c r="B22" s="16"/>
      <c r="C22" s="16"/>
      <c r="D22" s="16"/>
      <c r="E22" s="16"/>
      <c r="F22" s="16"/>
    </row>
    <row r="23" customFormat="false" ht="19.5" hidden="false" customHeight="true" outlineLevel="0" collapsed="false">
      <c r="A23" s="17" t="s">
        <v>33</v>
      </c>
      <c r="B23" s="17" t="s">
        <v>34</v>
      </c>
      <c r="C23" s="17" t="s">
        <v>35</v>
      </c>
      <c r="D23" s="17" t="s">
        <v>36</v>
      </c>
      <c r="E23" s="17" t="s">
        <v>37</v>
      </c>
      <c r="F23" s="17" t="s">
        <v>38</v>
      </c>
    </row>
    <row r="24" customFormat="false" ht="55.5" hidden="false" customHeight="true" outlineLevel="0" collapsed="false">
      <c r="A24" s="18" t="str">
        <f aca="false">[1]Maître!$A$8</f>
        <v>D1</v>
      </c>
      <c r="B24" s="19" t="str">
        <f aca="false">[1]Maître!$B$8</f>
        <v>Navigation et structure</v>
      </c>
      <c r="C24" s="20" t="str">
        <f aca="false">[1]Maître!$C$8</f>
        <v>Toutes les pages prévues sont présentes, la navigation fonctionne, l'état actif et l'état :hover sont visibles.</v>
      </c>
      <c r="D24" s="21" t="n">
        <f aca="false">[1]Maître!$D$8</f>
        <v>5</v>
      </c>
      <c r="E24" s="22" t="n">
        <v>3</v>
      </c>
      <c r="F24" s="23" t="s">
        <v>39</v>
      </c>
    </row>
    <row r="25" customFormat="false" ht="55.5" hidden="false" customHeight="true" outlineLevel="0" collapsed="false">
      <c r="A25" s="24" t="str">
        <f aca="false">[1]Maître!$A$9</f>
        <v>D2</v>
      </c>
      <c r="B25" s="25" t="str">
        <f aca="false">[1]Maître!$B$9</f>
        <v>Affichage des données</v>
      </c>
      <c r="C25" s="26" t="str">
        <f aca="false">[1]Maître!$C$9</f>
        <v>Les compteurs et points d'intérêt sont chargés depuis les fichiers et correctement affichés.</v>
      </c>
      <c r="D25" s="27" t="n">
        <f aca="false">[1]Maître!$D$9</f>
        <v>5</v>
      </c>
      <c r="E25" s="22" t="n">
        <v>5</v>
      </c>
      <c r="F25" s="23"/>
    </row>
    <row r="26" customFormat="false" ht="55.5" hidden="false" customHeight="true" outlineLevel="0" collapsed="false">
      <c r="A26" s="18" t="str">
        <f aca="false">[1]Maître!$A$10</f>
        <v>D3</v>
      </c>
      <c r="B26" s="19" t="str">
        <f aca="false">[1]Maître!$B$10</f>
        <v>Tri, recherche, filtres</v>
      </c>
      <c r="C26" s="20" t="str">
        <f aca="false">[1]Maître!$C$10</f>
        <v>Le tri par colonne, la recherche par nom et le filtre par arrondissement fonctionnent en direct.</v>
      </c>
      <c r="D26" s="21" t="n">
        <f aca="false">[1]Maître!$D$10</f>
        <v>5</v>
      </c>
      <c r="E26" s="22" t="n">
        <v>5</v>
      </c>
      <c r="F26" s="23"/>
    </row>
    <row r="27" customFormat="false" ht="55.5" hidden="false" customHeight="true" outlineLevel="0" collapsed="false">
      <c r="A27" s="24" t="str">
        <f aca="false">[1]Maître!$A$11</f>
        <v>D4</v>
      </c>
      <c r="B27" s="25" t="str">
        <f aca="false">[1]Maître!$B$11</f>
        <v>Thème et accessibilité</v>
      </c>
      <c r="C27" s="26" t="str">
        <f aca="false">[1]Maître!$C$11</f>
        <v>Le thème respecte les contrastes WCAG ; les couleurs sont cohérentes ; la mise en page reste lisible.</v>
      </c>
      <c r="D27" s="27" t="n">
        <f aca="false">[1]Maître!$D$11</f>
        <v>5</v>
      </c>
      <c r="E27" s="22" t="n">
        <v>5</v>
      </c>
      <c r="F27" s="23"/>
    </row>
    <row r="28" customFormat="false" ht="55.5" hidden="false" customHeight="true" outlineLevel="0" collapsed="false">
      <c r="A28" s="18" t="str">
        <f aca="false">[1]Maître!$A$12</f>
        <v>D5</v>
      </c>
      <c r="B28" s="19" t="str">
        <f aca="false">[1]Maître!$B$12</f>
        <v>Maîtrise du code</v>
      </c>
      <c r="C28" s="20" t="str">
        <f aca="false">[1]Maître!$C$12</f>
        <v>Chaque membre explique son code et défend ses choix techniques.</v>
      </c>
      <c r="D28" s="21" t="n">
        <f aca="false">[1]Maître!$D$12</f>
        <v>5</v>
      </c>
      <c r="E28" s="22" t="n">
        <v>5</v>
      </c>
      <c r="F28" s="23"/>
    </row>
    <row r="29" customFormat="false" ht="21.75" hidden="false" customHeight="true" outlineLevel="0" collapsed="false">
      <c r="A29" s="28" t="s">
        <v>40</v>
      </c>
      <c r="B29" s="28"/>
      <c r="C29" s="28"/>
      <c r="D29" s="29" t="n">
        <f aca="false">[1]Maître!$D$13</f>
        <v>25</v>
      </c>
      <c r="E29" s="30" t="n">
        <f aca="false">SUM(E24:E28)</f>
        <v>23</v>
      </c>
      <c r="F29" s="31"/>
    </row>
    <row r="31" customFormat="false" ht="21.75" hidden="false" customHeight="true" outlineLevel="0" collapsed="false">
      <c r="A31" s="16" t="str">
        <f aca="false">[1]Maître!$A$15</f>
        <v>2. Code et dépôt Git  —  35 points</v>
      </c>
      <c r="B31" s="16"/>
      <c r="C31" s="16"/>
      <c r="D31" s="16"/>
      <c r="E31" s="16"/>
      <c r="F31" s="16"/>
    </row>
    <row r="32" customFormat="false" ht="19.5" hidden="false" customHeight="true" outlineLevel="0" collapsed="false">
      <c r="A32" s="17" t="s">
        <v>33</v>
      </c>
      <c r="B32" s="17" t="s">
        <v>34</v>
      </c>
      <c r="C32" s="17" t="s">
        <v>35</v>
      </c>
      <c r="D32" s="17" t="s">
        <v>36</v>
      </c>
      <c r="E32" s="17" t="s">
        <v>37</v>
      </c>
      <c r="F32" s="17" t="s">
        <v>38</v>
      </c>
    </row>
    <row r="33" customFormat="false" ht="55.5" hidden="false" customHeight="true" outlineLevel="0" collapsed="false">
      <c r="A33" s="18" t="str">
        <f aca="false">[1]Maître!$A$17</f>
        <v>C1</v>
      </c>
      <c r="B33" s="19" t="str">
        <f aca="false">[1]Maître!$B$17</f>
        <v>Structure du code</v>
      </c>
      <c r="C33" s="20" t="str">
        <f aca="false">[1]Maître!$C$17</f>
        <v>HTML sémantique, séparation HTML / CSS / JS, modules JS organisés.</v>
      </c>
      <c r="D33" s="21" t="n">
        <f aca="false">[1]Maître!$D$17</f>
        <v>8</v>
      </c>
      <c r="E33" s="32" t="n">
        <v>8</v>
      </c>
      <c r="F33" s="23" t="s">
        <v>41</v>
      </c>
    </row>
    <row r="34" customFormat="false" ht="55.5" hidden="false" customHeight="true" outlineLevel="0" collapsed="false">
      <c r="A34" s="24" t="str">
        <f aca="false">[1]Maître!$A$18</f>
        <v>C2</v>
      </c>
      <c r="B34" s="25" t="str">
        <f aca="false">[1]Maître!$B$18</f>
        <v>Qualité CSS</v>
      </c>
      <c r="C34" s="26" t="str">
        <f aca="false">[1]Maître!$C$18</f>
        <v>Flexbox / Grid, pas de tableaux HTML pour la mise en page, classes cohérentes.</v>
      </c>
      <c r="D34" s="27" t="n">
        <f aca="false">[1]Maître!$D$18</f>
        <v>5</v>
      </c>
      <c r="E34" s="32" t="n">
        <v>3</v>
      </c>
      <c r="F34" s="23" t="s">
        <v>42</v>
      </c>
    </row>
    <row r="35" customFormat="false" ht="55.5" hidden="false" customHeight="true" outlineLevel="0" collapsed="false">
      <c r="A35" s="18" t="str">
        <f aca="false">[1]Maître!$A$19</f>
        <v>C3</v>
      </c>
      <c r="B35" s="19" t="str">
        <f aca="false">[1]Maître!$B$19</f>
        <v>Qualité JS</v>
      </c>
      <c r="C35" s="20" t="str">
        <f aca="false">[1]Maître!$C$19</f>
        <v>Code lisible, fonctions courtes, gestion d'erreurs minimale présente.</v>
      </c>
      <c r="D35" s="21" t="n">
        <f aca="false">[1]Maître!$D$19</f>
        <v>7</v>
      </c>
      <c r="E35" s="32" t="n">
        <v>6</v>
      </c>
      <c r="F35" s="23" t="s">
        <v>43</v>
      </c>
    </row>
    <row r="36" customFormat="false" ht="55.5" hidden="false" customHeight="true" outlineLevel="0" collapsed="false">
      <c r="A36" s="24" t="str">
        <f aca="false">[1]Maître!$A$20</f>
        <v>C4</v>
      </c>
      <c r="B36" s="25" t="str">
        <f aca="false">[1]Maître!$B$20</f>
        <v>Dépôt Git</v>
      </c>
      <c r="C36" s="26" t="str">
        <f aca="false">[1]Maître!$C$20</f>
        <v>Commits réguliers des trois membres, messages clairs, [IA] présent si applicable.</v>
      </c>
      <c r="D36" s="27" t="n">
        <f aca="false">[1]Maître!$D$20</f>
        <v>5</v>
      </c>
      <c r="E36" s="32" t="n">
        <v>4</v>
      </c>
      <c r="F36" s="23" t="s">
        <v>44</v>
      </c>
    </row>
    <row r="37" customFormat="false" ht="55.5" hidden="false" customHeight="true" outlineLevel="0" collapsed="false">
      <c r="A37" s="18" t="str">
        <f aca="false">[1]Maître!$A$21</f>
        <v>C5</v>
      </c>
      <c r="B37" s="19" t="str">
        <f aca="false">[1]Maître!$B$21</f>
        <v>Journal de démarche</v>
      </c>
      <c r="C37" s="20" t="str">
        <f aca="false">[1]Maître!$C$21</f>
        <v>Parcours avec IA : PROMPTS.md à jour. Parcours sans IA : DEMARCHE.md à jour.</v>
      </c>
      <c r="D37" s="21" t="n">
        <f aca="false">[1]Maître!$D$21</f>
        <v>10</v>
      </c>
      <c r="E37" s="32" t="n">
        <v>10</v>
      </c>
      <c r="F37" s="23" t="s">
        <v>45</v>
      </c>
    </row>
    <row r="38" customFormat="false" ht="21.75" hidden="false" customHeight="true" outlineLevel="0" collapsed="false">
      <c r="A38" s="28" t="s">
        <v>46</v>
      </c>
      <c r="B38" s="28"/>
      <c r="C38" s="28"/>
      <c r="D38" s="29" t="n">
        <f aca="false">[1]Maître!$D$22</f>
        <v>35</v>
      </c>
      <c r="E38" s="30" t="n">
        <f aca="false">SUM(E33:E37)</f>
        <v>31</v>
      </c>
      <c r="F38" s="31"/>
    </row>
    <row r="40" customFormat="false" ht="21.75" hidden="false" customHeight="true" outlineLevel="0" collapsed="false">
      <c r="A40" s="16" t="str">
        <f aca="false">[1]Maître!$A$24</f>
        <v>3. Rapport  —  40 points</v>
      </c>
      <c r="B40" s="16"/>
      <c r="C40" s="16"/>
      <c r="D40" s="16"/>
      <c r="E40" s="16"/>
      <c r="F40" s="16"/>
    </row>
    <row r="41" customFormat="false" ht="19.5" hidden="false" customHeight="true" outlineLevel="0" collapsed="false">
      <c r="A41" s="17" t="s">
        <v>33</v>
      </c>
      <c r="B41" s="17" t="s">
        <v>34</v>
      </c>
      <c r="C41" s="17" t="s">
        <v>35</v>
      </c>
      <c r="D41" s="17" t="s">
        <v>36</v>
      </c>
      <c r="E41" s="17" t="s">
        <v>37</v>
      </c>
      <c r="F41" s="17" t="s">
        <v>38</v>
      </c>
    </row>
    <row r="42" customFormat="false" ht="55.5" hidden="false" customHeight="true" outlineLevel="0" collapsed="false">
      <c r="A42" s="18" t="str">
        <f aca="false">[1]Maître!$A$26</f>
        <v>R1</v>
      </c>
      <c r="B42" s="19" t="str">
        <f aca="false">[1]Maître!$B$26</f>
        <v>Architecture</v>
      </c>
      <c r="C42" s="20" t="str">
        <f aca="false">[1]Maître!$C$26</f>
        <v>Description claire, rôle des modules, justification du cadriciel.</v>
      </c>
      <c r="D42" s="21" t="n">
        <f aca="false">[1]Maître!$D$26</f>
        <v>8</v>
      </c>
      <c r="E42" s="32" t="n">
        <v>6</v>
      </c>
      <c r="F42" s="23" t="s">
        <v>47</v>
      </c>
    </row>
    <row r="43" customFormat="false" ht="55.5" hidden="false" customHeight="true" outlineLevel="0" collapsed="false">
      <c r="A43" s="24" t="str">
        <f aca="false">[1]Maître!$A$27</f>
        <v>R2</v>
      </c>
      <c r="B43" s="25" t="str">
        <f aca="false">[1]Maître!$B$27</f>
        <v>Implémentation</v>
      </c>
      <c r="C43" s="26" t="str">
        <f aca="false">[1]Maître!$C$27</f>
        <v>Explication concise du tri, de la recherche et du filtrage.</v>
      </c>
      <c r="D43" s="27" t="n">
        <f aca="false">[1]Maître!$D$27</f>
        <v>6</v>
      </c>
      <c r="E43" s="32" t="n">
        <v>4</v>
      </c>
      <c r="F43" s="23" t="s">
        <v>48</v>
      </c>
    </row>
    <row r="44" customFormat="false" ht="55.5" hidden="false" customHeight="true" outlineLevel="0" collapsed="false">
      <c r="A44" s="18" t="str">
        <f aca="false">[1]Maître!$A$28</f>
        <v>R3</v>
      </c>
      <c r="B44" s="19" t="str">
        <f aca="false">[1]Maître!$B$28</f>
        <v>Accessibilité et thème</v>
      </c>
      <c r="C44" s="20" t="str">
        <f aca="false">[1]Maître!$C$28</f>
        <v>Couleurs documentées, démarche d'accessibilité.</v>
      </c>
      <c r="D44" s="21" t="n">
        <f aca="false">[1]Maître!$D$28</f>
        <v>6</v>
      </c>
      <c r="E44" s="32" t="n">
        <v>6</v>
      </c>
      <c r="F44" s="23" t="s">
        <v>49</v>
      </c>
    </row>
    <row r="45" customFormat="false" ht="55.5" hidden="false" customHeight="true" outlineLevel="0" collapsed="false">
      <c r="A45" s="24" t="str">
        <f aca="false">[1]Maître!$A$29</f>
        <v>R4</v>
      </c>
      <c r="B45" s="25" t="str">
        <f aca="false">[1]Maître!$B$29</f>
        <v>Démarche professionnelle et réflexion critique</v>
      </c>
      <c r="C45" s="26" t="str">
        <f aca="false">[1]Maître!$C$29</f>
        <v>Section dédiée du rapport rendant compte du parcours choisi.</v>
      </c>
      <c r="D45" s="27" t="n">
        <f aca="false">[1]Maître!$D$29</f>
        <v>12</v>
      </c>
      <c r="E45" s="32" t="n">
        <v>10</v>
      </c>
      <c r="F45" s="23" t="s">
        <v>50</v>
      </c>
    </row>
    <row r="46" customFormat="false" ht="55.5" hidden="false" customHeight="true" outlineLevel="0" collapsed="false">
      <c r="A46" s="18" t="str">
        <f aca="false">[1]Maître!$A$30</f>
        <v>R5</v>
      </c>
      <c r="B46" s="19" t="str">
        <f aca="false">[1]Maître!$B$30</f>
        <v>Répartition et présentation</v>
      </c>
      <c r="C46" s="20" t="str">
        <f aca="false">[1]Maître!$C$30</f>
        <v>Rôles précis, intro / conclusion soignées, qualité de la mise en page.</v>
      </c>
      <c r="D46" s="21" t="n">
        <f aca="false">[1]Maître!$D$30</f>
        <v>8</v>
      </c>
      <c r="E46" s="32" t="n">
        <v>6</v>
      </c>
      <c r="F46" s="23" t="s">
        <v>51</v>
      </c>
    </row>
    <row r="47" customFormat="false" ht="21.75" hidden="false" customHeight="true" outlineLevel="0" collapsed="false">
      <c r="A47" s="28" t="s">
        <v>52</v>
      </c>
      <c r="B47" s="28"/>
      <c r="C47" s="28"/>
      <c r="D47" s="29" t="n">
        <f aca="false">[1]Maître!$D$31</f>
        <v>40</v>
      </c>
      <c r="E47" s="30" t="n">
        <f aca="false">SUM(E42:E46)</f>
        <v>32</v>
      </c>
      <c r="F47" s="31"/>
    </row>
    <row r="49" customFormat="false" ht="21.75" hidden="false" customHeight="true" outlineLevel="0" collapsed="false">
      <c r="A49" s="33" t="s">
        <v>53</v>
      </c>
      <c r="B49" s="33"/>
      <c r="C49" s="33"/>
      <c r="D49" s="33"/>
      <c r="E49" s="33"/>
      <c r="F49" s="33"/>
    </row>
    <row r="50" customFormat="false" ht="19.5" hidden="false" customHeight="true" outlineLevel="0" collapsed="false">
      <c r="A50" s="17" t="s">
        <v>33</v>
      </c>
      <c r="B50" s="17" t="s">
        <v>54</v>
      </c>
      <c r="C50" s="17"/>
      <c r="D50" s="17" t="s">
        <v>36</v>
      </c>
      <c r="E50" s="17" t="s">
        <v>55</v>
      </c>
      <c r="F50" s="17" t="s">
        <v>56</v>
      </c>
    </row>
    <row r="51" customFormat="false" ht="55.5" hidden="false" customHeight="true" outlineLevel="0" collapsed="false">
      <c r="A51" s="34" t="str">
        <f aca="false">[1]Maître!$A$35</f>
        <v>P1</v>
      </c>
      <c r="B51" s="35" t="str">
        <f aca="false">[1]Maître!$B$35</f>
        <v>Mauvais usage du HTML sémantique : absence ou usage inadéquat d'éléments HTML5 structurants.</v>
      </c>
      <c r="C51" s="35"/>
      <c r="D51" s="36" t="n">
        <f aca="false">[1]Maître!$D$35</f>
        <v>5</v>
      </c>
      <c r="E51" s="37" t="n">
        <v>0</v>
      </c>
      <c r="F51" s="23" t="s">
        <v>57</v>
      </c>
    </row>
    <row r="52" customFormat="false" ht="55.5" hidden="false" customHeight="true" outlineLevel="0" collapsed="false">
      <c r="A52" s="38" t="str">
        <f aca="false">[1]Maître!$A$36</f>
        <v>P2</v>
      </c>
      <c r="B52" s="20" t="str">
        <f aca="false">[1]Maître!$B$36</f>
        <v>Rapport mal rédigé : qualité du français insuffisante (clarté, structure, syntaxe).</v>
      </c>
      <c r="C52" s="20"/>
      <c r="D52" s="39" t="n">
        <f aca="false">[1]Maître!$D$36</f>
        <v>10</v>
      </c>
      <c r="E52" s="40"/>
      <c r="F52" s="41"/>
    </row>
    <row r="53" customFormat="false" ht="55.5" hidden="false" customHeight="true" outlineLevel="0" collapsed="false">
      <c r="A53" s="34" t="str">
        <f aca="false">[1]Maître!$A$37</f>
        <v>P3</v>
      </c>
      <c r="B53" s="35" t="str">
        <f aca="false">[1]Maître!$B$37</f>
        <v>[Parcours avec IA] Code généré accepté tel quel, sans relecture ni adaptation.</v>
      </c>
      <c r="C53" s="35"/>
      <c r="D53" s="36" t="n">
        <f aca="false">[1]Maître!$D$37</f>
        <v>10</v>
      </c>
      <c r="E53" s="40"/>
      <c r="F53" s="41"/>
    </row>
    <row r="54" customFormat="false" ht="55.5" hidden="false" customHeight="true" outlineLevel="0" collapsed="false">
      <c r="A54" s="38" t="str">
        <f aca="false">[1]Maître!$A$38</f>
        <v>P4</v>
      </c>
      <c r="B54" s="20" t="str">
        <f aca="false">[1]Maître!$B$38</f>
        <v>[Parcours avec IA] Absence ou non-respect du journal PROMPTS.md.</v>
      </c>
      <c r="C54" s="20"/>
      <c r="D54" s="39" t="n">
        <f aca="false">[1]Maître!$D$38</f>
        <v>10</v>
      </c>
      <c r="E54" s="40"/>
      <c r="F54" s="41"/>
    </row>
    <row r="55" customFormat="false" ht="55.5" hidden="false" customHeight="true" outlineLevel="0" collapsed="false">
      <c r="A55" s="34" t="str">
        <f aca="false">[1]Maître!$A$39</f>
        <v>P5</v>
      </c>
      <c r="B55" s="35" t="str">
        <f aca="false">[1]Maître!$B$39</f>
        <v>[Parcours sans IA] Absence ou non-respect du journal DEMARCHE.md, ou usage d'IA non déclaré.</v>
      </c>
      <c r="C55" s="35"/>
      <c r="D55" s="36" t="n">
        <f aca="false">[1]Maître!$D$39</f>
        <v>10</v>
      </c>
      <c r="E55" s="40"/>
      <c r="F55" s="41"/>
    </row>
    <row r="56" customFormat="false" ht="55.5" hidden="false" customHeight="true" outlineLevel="0" collapsed="false">
      <c r="A56" s="38" t="str">
        <f aca="false">[1]Maître!$A$40</f>
        <v>P7</v>
      </c>
      <c r="B56" s="20" t="str">
        <f aca="false">[1]Maître!$B$40</f>
        <v>Soumission non conforme : tag phase1-submission absent ou divergent du SHA déposé.</v>
      </c>
      <c r="C56" s="20"/>
      <c r="D56" s="39" t="n">
        <f aca="false">[1]Maître!$D$40</f>
        <v>15</v>
      </c>
      <c r="E56" s="40"/>
      <c r="F56" s="41"/>
    </row>
    <row r="57" customFormat="false" ht="21.75" hidden="false" customHeight="true" outlineLevel="0" collapsed="false">
      <c r="A57" s="42" t="s">
        <v>58</v>
      </c>
      <c r="B57" s="42"/>
      <c r="C57" s="42"/>
      <c r="D57" s="42"/>
      <c r="E57" s="43" t="n">
        <f aca="false">SUM(E51:E56)</f>
        <v>0</v>
      </c>
      <c r="F57" s="44"/>
    </row>
    <row r="59" customFormat="false" ht="19.5" hidden="false" customHeight="true" outlineLevel="0" collapsed="false">
      <c r="A59" s="6" t="s">
        <v>59</v>
      </c>
      <c r="B59" s="6"/>
      <c r="C59" s="6"/>
      <c r="D59" s="6"/>
      <c r="E59" s="6"/>
      <c r="F59" s="6"/>
    </row>
    <row r="60" customFormat="false" ht="21.75" hidden="false" customHeight="true" outlineLevel="0" collapsed="false">
      <c r="A60" s="45" t="s">
        <v>60</v>
      </c>
      <c r="B60" s="45"/>
      <c r="C60" s="45"/>
      <c r="D60" s="45"/>
      <c r="E60" s="46" t="n">
        <f aca="false">E29</f>
        <v>23</v>
      </c>
      <c r="F60" s="47" t="n">
        <f aca="false">D29</f>
        <v>25</v>
      </c>
    </row>
    <row r="61" customFormat="false" ht="21.75" hidden="false" customHeight="true" outlineLevel="0" collapsed="false">
      <c r="A61" s="45" t="s">
        <v>61</v>
      </c>
      <c r="B61" s="45"/>
      <c r="C61" s="45"/>
      <c r="D61" s="45"/>
      <c r="E61" s="46" t="n">
        <f aca="false">E38</f>
        <v>31</v>
      </c>
      <c r="F61" s="47" t="n">
        <f aca="false">D38</f>
        <v>35</v>
      </c>
    </row>
    <row r="62" customFormat="false" ht="21.75" hidden="false" customHeight="true" outlineLevel="0" collapsed="false">
      <c r="A62" s="45" t="s">
        <v>62</v>
      </c>
      <c r="B62" s="45"/>
      <c r="C62" s="45"/>
      <c r="D62" s="45"/>
      <c r="E62" s="46" t="n">
        <f aca="false">E47</f>
        <v>32</v>
      </c>
      <c r="F62" s="47" t="n">
        <f aca="false">D47</f>
        <v>40</v>
      </c>
    </row>
    <row r="63" customFormat="false" ht="21.75" hidden="false" customHeight="true" outlineLevel="0" collapsed="false">
      <c r="A63" s="45" t="s">
        <v>63</v>
      </c>
      <c r="B63" s="45"/>
      <c r="C63" s="45"/>
      <c r="D63" s="45"/>
      <c r="E63" s="46" t="n">
        <f aca="false">-E57</f>
        <v>-0</v>
      </c>
      <c r="F63" s="47" t="s">
        <v>64</v>
      </c>
    </row>
    <row r="64" customFormat="false" ht="27.75" hidden="false" customHeight="true" outlineLevel="0" collapsed="false">
      <c r="A64" s="48" t="s">
        <v>65</v>
      </c>
      <c r="B64" s="48"/>
      <c r="C64" s="48"/>
      <c r="D64" s="48"/>
      <c r="E64" s="49" t="n">
        <f aca="false">MAX(0, MIN(100, E29 + E38 + E47 - E57))</f>
        <v>86</v>
      </c>
      <c r="F64" s="50" t="s">
        <v>66</v>
      </c>
    </row>
    <row r="66" customFormat="false" ht="19.5" hidden="false" customHeight="true" outlineLevel="0" collapsed="false">
      <c r="A66" s="6" t="s">
        <v>67</v>
      </c>
      <c r="B66" s="6"/>
      <c r="C66" s="6"/>
      <c r="D66" s="6"/>
      <c r="E66" s="6"/>
      <c r="F66" s="6"/>
    </row>
    <row r="67" customFormat="false" ht="19.5" hidden="false" customHeight="true" outlineLevel="0" collapsed="false">
      <c r="A67" s="51" t="s">
        <v>68</v>
      </c>
      <c r="B67" s="51"/>
      <c r="C67" s="51"/>
      <c r="D67" s="51"/>
      <c r="E67" s="51"/>
      <c r="F67" s="51"/>
    </row>
    <row r="68" customFormat="false" ht="79.5" hidden="false" customHeight="true" outlineLevel="0" collapsed="false">
      <c r="A68" s="52" t="s">
        <v>69</v>
      </c>
      <c r="B68" s="52"/>
      <c r="C68" s="52"/>
      <c r="D68" s="52"/>
      <c r="E68" s="52"/>
      <c r="F68" s="52"/>
    </row>
    <row r="70" customFormat="false" ht="19.5" hidden="false" customHeight="true" outlineLevel="0" collapsed="false">
      <c r="A70" s="51" t="s">
        <v>70</v>
      </c>
      <c r="B70" s="51"/>
      <c r="C70" s="51"/>
      <c r="D70" s="51"/>
      <c r="E70" s="51"/>
      <c r="F70" s="51"/>
    </row>
    <row r="71" customFormat="false" ht="79.5" hidden="false" customHeight="true" outlineLevel="0" collapsed="false">
      <c r="A71" s="52" t="s">
        <v>71</v>
      </c>
      <c r="B71" s="52"/>
      <c r="C71" s="52"/>
      <c r="D71" s="52"/>
      <c r="E71" s="52"/>
      <c r="F71" s="52"/>
    </row>
    <row r="73" customFormat="false" ht="19.5" hidden="false" customHeight="true" outlineLevel="0" collapsed="false">
      <c r="A73" s="51" t="s">
        <v>72</v>
      </c>
      <c r="B73" s="51"/>
      <c r="C73" s="51"/>
      <c r="D73" s="51"/>
      <c r="E73" s="51"/>
      <c r="F73" s="51"/>
    </row>
    <row r="74" customFormat="false" ht="30" hidden="false" customHeight="true" outlineLevel="0" collapsed="false">
      <c r="A74" s="53"/>
      <c r="B74" s="53"/>
      <c r="C74" s="53"/>
      <c r="D74" s="53"/>
      <c r="E74" s="53"/>
      <c r="F74" s="53"/>
    </row>
  </sheetData>
  <mergeCells count="50">
    <mergeCell ref="A1:F1"/>
    <mergeCell ref="A2:F2"/>
    <mergeCell ref="A3:F3"/>
    <mergeCell ref="A4:F4"/>
    <mergeCell ref="A6:F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  <mergeCell ref="A13:F13"/>
    <mergeCell ref="C14:F14"/>
    <mergeCell ref="C15:F15"/>
    <mergeCell ref="C16:F16"/>
    <mergeCell ref="A18:F18"/>
    <mergeCell ref="A19:F19"/>
    <mergeCell ref="A20:F20"/>
    <mergeCell ref="A22:F22"/>
    <mergeCell ref="A29:C29"/>
    <mergeCell ref="A31:F31"/>
    <mergeCell ref="A38:C38"/>
    <mergeCell ref="A40:F40"/>
    <mergeCell ref="A47:C47"/>
    <mergeCell ref="A49:F49"/>
    <mergeCell ref="B50:C50"/>
    <mergeCell ref="B51:C51"/>
    <mergeCell ref="B52:C52"/>
    <mergeCell ref="B53:C53"/>
    <mergeCell ref="B54:C54"/>
    <mergeCell ref="B55:C55"/>
    <mergeCell ref="B56:C56"/>
    <mergeCell ref="A57:D57"/>
    <mergeCell ref="A59:F59"/>
    <mergeCell ref="A60:D60"/>
    <mergeCell ref="A61:D61"/>
    <mergeCell ref="A62:D62"/>
    <mergeCell ref="A63:D63"/>
    <mergeCell ref="A64:D64"/>
    <mergeCell ref="A66:F66"/>
    <mergeCell ref="A67:F67"/>
    <mergeCell ref="A68:F68"/>
    <mergeCell ref="A70:F70"/>
    <mergeCell ref="A71:F71"/>
    <mergeCell ref="A73:F73"/>
    <mergeCell ref="A74:F7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2026-06-16T07:26:52Z</dcterms:created>
  <dc:creator>openpyxl</dc:creator>
  <dc:description/>
  <dc:language>en-US</dc:language>
  <cp:lastModifiedBy/>
  <dcterms:modified xsi:type="dcterms:W3CDTF">2026-06-22T07:39:19Z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